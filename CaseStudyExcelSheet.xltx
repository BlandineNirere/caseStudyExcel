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GLencore\"/>
    </mc:Choice>
  </mc:AlternateContent>
  <xr:revisionPtr revIDLastSave="0" documentId="8_{502FFDC0-D955-42C1-833C-B04C31DB470B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orizontalPipeline" sheetId="5" r:id="rId1"/>
    <sheet name="OriginalData" sheetId="1" r:id="rId2"/>
    <sheet name="CleanedData" sheetId="11" r:id="rId3"/>
    <sheet name="PivotTableWithChart" sheetId="15" r:id="rId4"/>
  </sheets>
  <calcPr calcId="191029"/>
  <pivotCaches>
    <pivotCache cacheId="1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5" l="1"/>
  <c r="G4" i="5"/>
  <c r="G5" i="5"/>
  <c r="G6" i="5"/>
  <c r="G7" i="5"/>
  <c r="G8" i="5"/>
  <c r="G3" i="5"/>
  <c r="F4" i="5"/>
  <c r="F5" i="5"/>
  <c r="F6" i="5"/>
  <c r="F7" i="5"/>
  <c r="F8" i="5"/>
  <c r="F3" i="5"/>
  <c r="G2" i="11"/>
  <c r="G3" i="11"/>
  <c r="G4" i="11"/>
  <c r="G11" i="11"/>
  <c r="G18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" i="11"/>
  <c r="G14" i="11"/>
  <c r="G23" i="11"/>
  <c r="G16" i="11"/>
  <c r="G15" i="11"/>
  <c r="G22" i="11"/>
  <c r="G24" i="11"/>
  <c r="G21" i="11"/>
  <c r="G17" i="11"/>
  <c r="G25" i="11"/>
  <c r="G13" i="11"/>
  <c r="G6" i="11"/>
  <c r="G8" i="11"/>
  <c r="G7" i="11"/>
  <c r="G9" i="11"/>
  <c r="D5" i="11"/>
  <c r="G5" i="11"/>
  <c r="G12" i="11"/>
  <c r="D12" i="11"/>
  <c r="D10" i="11"/>
  <c r="G10" i="11"/>
  <c r="G19" i="11"/>
  <c r="D19" i="11"/>
  <c r="D11" i="11"/>
  <c r="D20" i="11"/>
  <c r="G20" i="11"/>
  <c r="D18" i="11"/>
</calcChain>
</file>

<file path=xl/sharedStrings.xml><?xml version="1.0" encoding="utf-8"?>
<sst xmlns="http://schemas.openxmlformats.org/spreadsheetml/2006/main" count="110" uniqueCount="35">
  <si>
    <t>EQUIPEMENTNO</t>
  </si>
  <si>
    <t>Months</t>
  </si>
  <si>
    <t>Sum of HOURS</t>
  </si>
  <si>
    <t>Sum of DRILLMETER</t>
  </si>
  <si>
    <t>Sum of CLEANMETER</t>
  </si>
  <si>
    <t>Jan</t>
  </si>
  <si>
    <t>Feb</t>
  </si>
  <si>
    <t>Mar</t>
  </si>
  <si>
    <t>Apr</t>
  </si>
  <si>
    <t>33478D</t>
  </si>
  <si>
    <t>Drill Type</t>
  </si>
  <si>
    <t>Drill rates</t>
  </si>
  <si>
    <t xml:space="preserve">SOLO top hammer drill
</t>
  </si>
  <si>
    <t xml:space="preserve">Sum of DRILLMETER
</t>
  </si>
  <si>
    <t xml:space="preserve">Sum of HOURS
</t>
  </si>
  <si>
    <t xml:space="preserve">Rig Number
</t>
  </si>
  <si>
    <t>Row Labels</t>
  </si>
  <si>
    <t>Grand Total</t>
  </si>
  <si>
    <t xml:space="preserve">In-the-hole drill
</t>
  </si>
  <si>
    <t>Victaulic High Pressure 8" Pipe Straight segments</t>
  </si>
  <si>
    <t xml:space="preserve">Quantity </t>
  </si>
  <si>
    <t>90 Degree Elbow 2023</t>
  </si>
  <si>
    <t>60 Degree Elbow</t>
  </si>
  <si>
    <t>22 Degree Elbow</t>
  </si>
  <si>
    <t>Flanges (for Victaulic)</t>
  </si>
  <si>
    <t>Victaulic Clamps</t>
  </si>
  <si>
    <t>Item description</t>
  </si>
  <si>
    <t>Unit price</t>
  </si>
  <si>
    <t>Allowance for design growth</t>
  </si>
  <si>
    <t>Allowance for waste</t>
  </si>
  <si>
    <t>Total Quantity (with allowances)</t>
  </si>
  <si>
    <t>Total cost s with allowances</t>
  </si>
  <si>
    <t>Grand Total of Total Cost(will allowances)</t>
  </si>
  <si>
    <t>Sum of Drill rates2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</si>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</sst>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0.0000"/>
    <numFmt numFmtId="166" formatCode="#,##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164" fontId="0" fillId="0" borderId="0" xfId="0" applyNumberFormat="1"/>
    <xf numFmtId="8" fontId="0" fillId="0" borderId="0" xfId="0" applyNumberFormat="1"/>
    <xf numFmtId="0" fontId="2" fillId="2" borderId="1" xfId="0" applyFont="1" applyFill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horizontal="left" vertical="top"/>
    </xf>
    <xf numFmtId="164" fontId="2" fillId="2" borderId="3" xfId="0" applyNumberFormat="1" applyFont="1" applyFill="1" applyBorder="1" applyAlignment="1">
      <alignment horizontal="left" vertical="top" wrapText="1"/>
    </xf>
    <xf numFmtId="164" fontId="2" fillId="2" borderId="2" xfId="0" applyNumberFormat="1" applyFont="1" applyFill="1" applyBorder="1" applyAlignment="1">
      <alignment horizontal="left" vertical="top"/>
    </xf>
    <xf numFmtId="164" fontId="0" fillId="0" borderId="0" xfId="0" applyNumberFormat="1" applyAlignment="1">
      <alignment wrapText="1"/>
    </xf>
    <xf numFmtId="9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0" applyNumberFormat="1"/>
    <xf numFmtId="166" fontId="0" fillId="0" borderId="0" xfId="0" pivotButton="1" applyNumberFormat="1"/>
    <xf numFmtId="166" fontId="0" fillId="0" borderId="0" xfId="0" applyNumberFormat="1" applyAlignment="1">
      <alignment horizontal="left"/>
    </xf>
  </cellXfs>
  <cellStyles count="1">
    <cellStyle name="Normal" xfId="0" builtinId="0"/>
  </cellStyles>
  <dxfs count="697"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6" formatCode="#,##0.0000"/>
    </dxf>
    <dxf>
      <numFmt numFmtId="164" formatCode="0.0000"/>
    </dxf>
    <dxf>
      <numFmt numFmtId="164" formatCode="0.000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[CaseStudyExcelSheet.xltx]PivotTableWithChart!PivotTable2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Drill</a:t>
            </a:r>
            <a:r>
              <a:rPr lang="en-GB" baseline="0"/>
              <a:t> rates depicted by Rig Number</a:t>
            </a:r>
            <a:endParaRPr lang="en-S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PivotTableWithChart!$B$3:$B$4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PivotTableWithChart!$A$5:$A$14</c:f>
              <c:strCache>
                <c:ptCount val="9"/>
                <c:pt idx="0">
                  <c:v>0.0000</c:v>
                </c:pt>
                <c:pt idx="1">
                  <c:v>0.0317</c:v>
                </c:pt>
                <c:pt idx="2">
                  <c:v>0.1092</c:v>
                </c:pt>
                <c:pt idx="3">
                  <c:v>0.1452</c:v>
                </c:pt>
                <c:pt idx="4">
                  <c:v>0.1900</c:v>
                </c:pt>
                <c:pt idx="5">
                  <c:v>0.2030</c:v>
                </c:pt>
                <c:pt idx="6">
                  <c:v>0.2665</c:v>
                </c:pt>
                <c:pt idx="7">
                  <c:v>0.4050</c:v>
                </c:pt>
                <c:pt idx="8">
                  <c:v>0.5812</c:v>
                </c:pt>
              </c:strCache>
            </c:strRef>
          </c:cat>
          <c:val>
            <c:numRef>
              <c:f>PivotTableWithChart!$B$5:$B$14</c:f>
              <c:numCache>
                <c:formatCode>#,##0.0000</c:formatCode>
                <c:ptCount val="9"/>
                <c:pt idx="0">
                  <c:v>0</c:v>
                </c:pt>
                <c:pt idx="2">
                  <c:v>3.2124707716289946</c:v>
                </c:pt>
                <c:pt idx="7">
                  <c:v>2.1967391304347825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C6-4F0A-B7EE-3BB923D5B8F3}"/>
            </c:ext>
          </c:extLst>
        </c:ser>
        <c:ser>
          <c:idx val="1"/>
          <c:order val="1"/>
          <c:tx>
            <c:strRef>
              <c:f>PivotTableWithChart!$C$3:$C$4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PivotTableWithChart!$A$5:$A$14</c:f>
              <c:strCache>
                <c:ptCount val="9"/>
                <c:pt idx="0">
                  <c:v>0.0000</c:v>
                </c:pt>
                <c:pt idx="1">
                  <c:v>0.0317</c:v>
                </c:pt>
                <c:pt idx="2">
                  <c:v>0.1092</c:v>
                </c:pt>
                <c:pt idx="3">
                  <c:v>0.1452</c:v>
                </c:pt>
                <c:pt idx="4">
                  <c:v>0.1900</c:v>
                </c:pt>
                <c:pt idx="5">
                  <c:v>0.2030</c:v>
                </c:pt>
                <c:pt idx="6">
                  <c:v>0.2665</c:v>
                </c:pt>
                <c:pt idx="7">
                  <c:v>0.4050</c:v>
                </c:pt>
                <c:pt idx="8">
                  <c:v>0.5812</c:v>
                </c:pt>
              </c:strCache>
            </c:strRef>
          </c:cat>
          <c:val>
            <c:numRef>
              <c:f>PivotTableWithChart!$C$5:$C$14</c:f>
              <c:numCache>
                <c:formatCode>#,##0.0000</c:formatCode>
                <c:ptCount val="9"/>
                <c:pt idx="0">
                  <c:v>0.1360544217687075</c:v>
                </c:pt>
                <c:pt idx="4">
                  <c:v>1.7281007751937985</c:v>
                </c:pt>
                <c:pt idx="8">
                  <c:v>2.7813852813852815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C6-4F0A-B7EE-3BB923D5B8F3}"/>
            </c:ext>
          </c:extLst>
        </c:ser>
        <c:ser>
          <c:idx val="2"/>
          <c:order val="2"/>
          <c:tx>
            <c:strRef>
              <c:f>PivotTableWithChart!$D$3:$D$4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PivotTableWithChart!$A$5:$A$14</c:f>
              <c:strCache>
                <c:ptCount val="9"/>
                <c:pt idx="0">
                  <c:v>0.0000</c:v>
                </c:pt>
                <c:pt idx="1">
                  <c:v>0.0317</c:v>
                </c:pt>
                <c:pt idx="2">
                  <c:v>0.1092</c:v>
                </c:pt>
                <c:pt idx="3">
                  <c:v>0.1452</c:v>
                </c:pt>
                <c:pt idx="4">
                  <c:v>0.1900</c:v>
                </c:pt>
                <c:pt idx="5">
                  <c:v>0.2030</c:v>
                </c:pt>
                <c:pt idx="6">
                  <c:v>0.2665</c:v>
                </c:pt>
                <c:pt idx="7">
                  <c:v>0.4050</c:v>
                </c:pt>
                <c:pt idx="8">
                  <c:v>0.5812</c:v>
                </c:pt>
              </c:strCache>
            </c:strRef>
          </c:cat>
          <c:val>
            <c:numRef>
              <c:f>PivotTableWithChart!$D$5:$D$14</c:f>
              <c:numCache>
                <c:formatCode>#,##0.0000</c:formatCode>
                <c:ptCount val="9"/>
                <c:pt idx="0">
                  <c:v>0.90333333333333332</c:v>
                </c:pt>
                <c:pt idx="1">
                  <c:v>3.6834008097165993</c:v>
                </c:pt>
                <c:pt idx="3">
                  <c:v>2.2480429777436681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C6-4F0A-B7EE-3BB923D5B8F3}"/>
            </c:ext>
          </c:extLst>
        </c:ser>
        <c:ser>
          <c:idx val="3"/>
          <c:order val="3"/>
          <c:tx>
            <c:strRef>
              <c:f>PivotTableWithChart!$E$3:$E$4</c:f>
              <c:strCache>
                <c:ptCount val="1"/>
                <c:pt idx="0">
                  <c:v>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PivotTableWithChart!$A$5:$A$14</c:f>
              <c:strCache>
                <c:ptCount val="9"/>
                <c:pt idx="0">
                  <c:v>0.0000</c:v>
                </c:pt>
                <c:pt idx="1">
                  <c:v>0.0317</c:v>
                </c:pt>
                <c:pt idx="2">
                  <c:v>0.1092</c:v>
                </c:pt>
                <c:pt idx="3">
                  <c:v>0.1452</c:v>
                </c:pt>
                <c:pt idx="4">
                  <c:v>0.1900</c:v>
                </c:pt>
                <c:pt idx="5">
                  <c:v>0.2030</c:v>
                </c:pt>
                <c:pt idx="6">
                  <c:v>0.2665</c:v>
                </c:pt>
                <c:pt idx="7">
                  <c:v>0.4050</c:v>
                </c:pt>
                <c:pt idx="8">
                  <c:v>0.5812</c:v>
                </c:pt>
              </c:strCache>
            </c:strRef>
          </c:cat>
          <c:val>
            <c:numRef>
              <c:f>PivotTableWithChart!$E$5:$E$14</c:f>
              <c:numCache>
                <c:formatCode>#,##0.0000</c:formatCode>
                <c:ptCount val="9"/>
                <c:pt idx="0">
                  <c:v>0.1815873015873016</c:v>
                </c:pt>
                <c:pt idx="5">
                  <c:v>0.50666666666666671</c:v>
                </c:pt>
                <c:pt idx="6">
                  <c:v>3.6098522167487688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C6-4F0A-B7EE-3BB923D5B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8823520"/>
        <c:axId val="646978880"/>
      </c:barChart>
      <c:catAx>
        <c:axId val="848823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Reg</a:t>
                </a:r>
                <a:r>
                  <a:rPr lang="en-GB" baseline="0"/>
                  <a:t> Number</a:t>
                </a:r>
                <a:endParaRPr lang="en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646978880"/>
        <c:crosses val="autoZero"/>
        <c:auto val="1"/>
        <c:lblAlgn val="ctr"/>
        <c:lblOffset val="100"/>
        <c:noMultiLvlLbl val="0"/>
      </c:catAx>
      <c:valAx>
        <c:axId val="646978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Drill</a:t>
                </a:r>
                <a:r>
                  <a:rPr lang="en-GB" baseline="0"/>
                  <a:t> rates</a:t>
                </a:r>
                <a:endParaRPr lang="en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E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84882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711200</xdr:colOff>
      <xdr:row>1</xdr:row>
      <xdr:rowOff>82550</xdr:rowOff>
    </xdr:from>
    <xdr:to>
      <xdr:col>9</xdr:col>
      <xdr:colOff>1143000</xdr:colOff>
      <xdr:row>16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77DBE6F-D7EE-5CA5-04D5-8D01CC0E3E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RERE BLANDINE" refreshedDate="45194.362932291668" createdVersion="8" refreshedVersion="8" minRefreshableVersion="3" recordCount="24" xr:uid="{44067243-B8F5-44E3-A7EE-1553BEEFD58A}">
  <cacheSource type="worksheet">
    <worksheetSource name="Table5"/>
  </cacheSource>
  <cacheFields count="7">
    <cacheField name="Months" numFmtId="0">
      <sharedItems count="4">
        <s v="Jan"/>
        <s v="Feb"/>
        <s v="Mar"/>
        <s v="Apr"/>
      </sharedItems>
    </cacheField>
    <cacheField name="Sum of HOURS_x000a_" numFmtId="0">
      <sharedItems containsSemiMixedTypes="0" containsString="0" containsNumber="1" minValue="63" maxValue="728.5"/>
    </cacheField>
    <cacheField name="Sum of DRILLMETER_x000a_" numFmtId="0">
      <sharedItems containsSemiMixedTypes="0" containsString="0" containsNumber="1" minValue="0" maxValue="4414.7"/>
    </cacheField>
    <cacheField name="Sum of CLEANMETER" numFmtId="0">
      <sharedItems containsSemiMixedTypes="0" containsString="0" containsNumber="1" minValue="0" maxValue="1054.5999999999999" count="18">
        <n v="225.1"/>
        <n v="169.4"/>
        <n v="212.6"/>
        <n v="0"/>
        <n v="47"/>
        <n v="153.4"/>
        <n v="1054.5999999999999"/>
        <n v="53.5"/>
        <n v="431"/>
        <n v="258"/>
        <n v="596.5"/>
        <n v="588.4"/>
        <n v="300"/>
        <n v="27"/>
        <n v="491.1"/>
        <n v="746.8"/>
        <n v="72"/>
        <n v="292.89999999999998"/>
      </sharedItems>
    </cacheField>
    <cacheField name="Drill Type" numFmtId="0">
      <sharedItems count="2">
        <s v="In-the-hole drill_x000a_"/>
        <s v="SOLO top hammer drill_x000a_"/>
      </sharedItems>
    </cacheField>
    <cacheField name="Drill rates" numFmtId="164">
      <sharedItems containsSemiMixedTypes="0" containsString="0" containsNumber="1" minValue="0" maxValue="7.6493478260869558" count="23">
        <n v="3.2124707716289946"/>
        <n v="1.7281007751937985"/>
        <n v="2.2480429777436681"/>
        <n v="0.1815873015873016"/>
        <n v="1.6409608091024019"/>
        <n v="3.8525536639526279"/>
        <n v="5.0202214022140215"/>
        <n v="2.8702341137123746"/>
        <n v="1.3055238095238095"/>
        <n v="0"/>
        <n v="0.85086580086580088"/>
        <n v="7.6493478260869558"/>
        <n v="5.8035663338088446"/>
        <n v="5.1762684124386249"/>
        <n v="6.0599862731640357"/>
        <n v="6.1430571761960335"/>
        <n v="0.1360544217687075"/>
        <n v="0.90333333333333332"/>
        <n v="0.50666666666666671"/>
        <n v="2.1967391304347825"/>
        <n v="2.7813852813852815"/>
        <n v="3.6834008097165993"/>
        <n v="3.6098522167487688"/>
      </sharedItems>
    </cacheField>
    <cacheField name="Rig Number_x000a_" numFmtId="164">
      <sharedItems containsSemiMixedTypes="0" containsString="0" containsNumber="1" minValue="0" maxValue="0.58116731517509723" count="18">
        <n v="0.1092294254658385"/>
        <n v="0.18997420657171693"/>
        <n v="0.14515908780554418"/>
        <n v="0"/>
        <n v="7.24191063174114E-2"/>
        <n v="5.8945588687365512E-2"/>
        <n v="0.31006703516405976"/>
        <n v="4.1559853957896374E-2"/>
        <n v="0.12248841901838747"/>
        <n v="6.3417152127424228E-2"/>
        <n v="0.18860467322224683"/>
        <n v="0.1332819897161755"/>
        <n v="0.11396877255631956"/>
        <n v="0.20300751879699247"/>
        <n v="0.40499752597723904"/>
        <n v="0.58116731517509723"/>
        <n v="3.165530885908991E-2"/>
        <n v="0.2664665211062590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n v="641.5"/>
    <n v="2060.8000000000002"/>
    <x v="0"/>
    <x v="0"/>
    <x v="0"/>
    <x v="0"/>
  </r>
  <r>
    <x v="1"/>
    <n v="516"/>
    <n v="891.7"/>
    <x v="1"/>
    <x v="0"/>
    <x v="1"/>
    <x v="1"/>
  </r>
  <r>
    <x v="2"/>
    <n v="651.5"/>
    <n v="1464.6"/>
    <x v="2"/>
    <x v="0"/>
    <x v="2"/>
    <x v="2"/>
  </r>
  <r>
    <x v="3"/>
    <n v="315"/>
    <n v="57.2"/>
    <x v="3"/>
    <x v="0"/>
    <x v="3"/>
    <x v="3"/>
  </r>
  <r>
    <x v="0"/>
    <n v="395.5"/>
    <n v="649"/>
    <x v="4"/>
    <x v="1"/>
    <x v="4"/>
    <x v="4"/>
  </r>
  <r>
    <x v="1"/>
    <n v="675.5"/>
    <n v="2602.4"/>
    <x v="5"/>
    <x v="1"/>
    <x v="5"/>
    <x v="5"/>
  </r>
  <r>
    <x v="2"/>
    <n v="677.5"/>
    <n v="3401.2"/>
    <x v="6"/>
    <x v="1"/>
    <x v="6"/>
    <x v="6"/>
  </r>
  <r>
    <x v="3"/>
    <n v="448.5"/>
    <n v="1287.3"/>
    <x v="7"/>
    <x v="1"/>
    <x v="7"/>
    <x v="7"/>
  </r>
  <r>
    <x v="0"/>
    <n v="525"/>
    <n v="685.4"/>
    <x v="3"/>
    <x v="1"/>
    <x v="8"/>
    <x v="3"/>
  </r>
  <r>
    <x v="1"/>
    <n v="430.5"/>
    <n v="0"/>
    <x v="3"/>
    <x v="1"/>
    <x v="9"/>
    <x v="3"/>
  </r>
  <r>
    <x v="2"/>
    <n v="462"/>
    <n v="393.1"/>
    <x v="3"/>
    <x v="1"/>
    <x v="10"/>
    <x v="3"/>
  </r>
  <r>
    <x v="3"/>
    <n v="460"/>
    <n v="3518.7"/>
    <x v="8"/>
    <x v="1"/>
    <x v="11"/>
    <x v="8"/>
  </r>
  <r>
    <x v="0"/>
    <n v="701"/>
    <n v="4068.3"/>
    <x v="9"/>
    <x v="1"/>
    <x v="12"/>
    <x v="9"/>
  </r>
  <r>
    <x v="1"/>
    <n v="611"/>
    <n v="3162.7"/>
    <x v="10"/>
    <x v="1"/>
    <x v="13"/>
    <x v="10"/>
  </r>
  <r>
    <x v="2"/>
    <n v="728.5"/>
    <n v="4414.7"/>
    <x v="11"/>
    <x v="1"/>
    <x v="14"/>
    <x v="11"/>
  </r>
  <r>
    <x v="3"/>
    <n v="428.5"/>
    <n v="2632.3"/>
    <x v="12"/>
    <x v="1"/>
    <x v="15"/>
    <x v="12"/>
  </r>
  <r>
    <x v="0"/>
    <n v="63"/>
    <n v="0"/>
    <x v="3"/>
    <x v="0"/>
    <x v="9"/>
    <x v="3"/>
  </r>
  <r>
    <x v="1"/>
    <n v="73.5"/>
    <n v="10"/>
    <x v="3"/>
    <x v="0"/>
    <x v="16"/>
    <x v="3"/>
  </r>
  <r>
    <x v="2"/>
    <n v="210"/>
    <n v="189.7"/>
    <x v="3"/>
    <x v="0"/>
    <x v="17"/>
    <x v="3"/>
  </r>
  <r>
    <x v="3"/>
    <n v="262.5"/>
    <n v="133"/>
    <x v="13"/>
    <x v="0"/>
    <x v="18"/>
    <x v="13"/>
  </r>
  <r>
    <x v="0"/>
    <n v="552"/>
    <n v="1212.5999999999999"/>
    <x v="14"/>
    <x v="0"/>
    <x v="19"/>
    <x v="14"/>
  </r>
  <r>
    <x v="1"/>
    <n v="462"/>
    <n v="1285"/>
    <x v="15"/>
    <x v="0"/>
    <x v="20"/>
    <x v="15"/>
  </r>
  <r>
    <x v="2"/>
    <n v="617.5"/>
    <n v="2274.5"/>
    <x v="16"/>
    <x v="0"/>
    <x v="21"/>
    <x v="16"/>
  </r>
  <r>
    <x v="3"/>
    <n v="304.5"/>
    <n v="1099.2"/>
    <x v="17"/>
    <x v="0"/>
    <x v="22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DF6B9-682F-4D5D-859A-F425C8A20CB2}" name="PivotTable2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A3:F14" firstHeaderRow="1" firstDataRow="2" firstDataCol="1" rowPageCount="1" colPageCount="1"/>
  <pivotFields count="7">
    <pivotField axis="axisCol" showAll="0" sortType="ascending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19">
        <item x="3"/>
        <item x="13"/>
        <item x="4"/>
        <item x="7"/>
        <item x="16"/>
        <item x="5"/>
        <item x="1"/>
        <item x="2"/>
        <item x="0"/>
        <item x="9"/>
        <item x="17"/>
        <item x="12"/>
        <item x="8"/>
        <item x="14"/>
        <item x="11"/>
        <item x="10"/>
        <item x="15"/>
        <item x="6"/>
        <item t="default"/>
      </items>
    </pivotField>
    <pivotField axis="axisPage" showAll="0">
      <items count="3">
        <item x="0"/>
        <item x="1"/>
        <item t="default"/>
      </items>
    </pivotField>
    <pivotField dataField="1" numFmtId="164" showAll="0">
      <items count="24">
        <item x="9"/>
        <item x="16"/>
        <item x="3"/>
        <item x="18"/>
        <item x="10"/>
        <item x="17"/>
        <item x="8"/>
        <item x="4"/>
        <item x="1"/>
        <item x="19"/>
        <item x="2"/>
        <item x="20"/>
        <item x="7"/>
        <item x="0"/>
        <item x="22"/>
        <item x="21"/>
        <item x="5"/>
        <item x="6"/>
        <item x="13"/>
        <item x="12"/>
        <item x="14"/>
        <item x="15"/>
        <item x="11"/>
        <item t="default"/>
      </items>
    </pivotField>
    <pivotField axis="axisRow" numFmtId="164" showAll="0">
      <items count="19">
        <item x="3"/>
        <item x="16"/>
        <item x="7"/>
        <item x="5"/>
        <item x="9"/>
        <item x="4"/>
        <item x="0"/>
        <item x="12"/>
        <item x="8"/>
        <item x="11"/>
        <item x="2"/>
        <item x="10"/>
        <item x="1"/>
        <item x="13"/>
        <item x="17"/>
        <item x="6"/>
        <item x="14"/>
        <item x="15"/>
        <item t="default"/>
      </items>
    </pivotField>
  </pivotFields>
  <rowFields count="1">
    <field x="6"/>
  </rowFields>
  <rowItems count="10">
    <i>
      <x/>
    </i>
    <i>
      <x v="1"/>
    </i>
    <i>
      <x v="6"/>
    </i>
    <i>
      <x v="10"/>
    </i>
    <i>
      <x v="12"/>
    </i>
    <i>
      <x v="13"/>
    </i>
    <i>
      <x v="14"/>
    </i>
    <i>
      <x v="16"/>
    </i>
    <i>
      <x v="17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4" item="0" hier="-1"/>
  </pageFields>
  <dataFields count="1">
    <dataField name="Sum of Drill rates2" fld="5" baseField="0" baseItem="0"/>
  </dataFields>
  <formats count="15">
    <format dxfId="691">
      <pivotArea field="4" type="button" dataOnly="0" labelOnly="1" outline="0" axis="axisPage" fieldPosition="0"/>
    </format>
    <format dxfId="690">
      <pivotArea type="origin" dataOnly="0" labelOnly="1" outline="0" fieldPosition="0"/>
    </format>
    <format dxfId="689">
      <pivotArea field="5" type="button" dataOnly="0" labelOnly="1" outline="0"/>
    </format>
    <format dxfId="688">
      <pivotArea dataOnly="0" labelOnly="1" grandRow="1" outline="0" fieldPosition="0"/>
    </format>
    <format dxfId="687">
      <pivotArea field="-2" type="button" dataOnly="0" labelOnly="1" outline="0" axis="axisValues" fieldPosition="0"/>
    </format>
    <format dxfId="42">
      <pivotArea outline="0" collapsedLevelsAreSubtotals="1" fieldPosition="0">
        <references count="1">
          <reference field="0" count="1" selected="0">
            <x v="0"/>
          </reference>
        </references>
      </pivotArea>
    </format>
    <format dxfId="41">
      <pivotArea dataOnly="0" labelOnly="1" outline="0" fieldPosition="0">
        <references count="1">
          <reference field="4" count="1">
            <x v="0"/>
          </reference>
        </references>
      </pivotArea>
    </format>
    <format dxfId="39">
      <pivotArea field="0" type="button" dataOnly="0" labelOnly="1" outline="0" axis="axisCol" fieldPosition="0"/>
    </format>
    <format dxfId="37">
      <pivotArea dataOnly="0" labelOnly="1" fieldPosition="0">
        <references count="1">
          <reference field="0" count="1">
            <x v="0"/>
          </reference>
        </references>
      </pivotArea>
    </format>
    <format dxfId="36">
      <pivotArea outline="0" collapsedLevelsAreSubtotals="1" fieldPosition="0">
        <references count="1">
          <reference field="0" count="1" selected="0">
            <x v="1"/>
          </reference>
        </references>
      </pivotArea>
    </format>
    <format dxfId="35">
      <pivotArea type="topRight" dataOnly="0" labelOnly="1" outline="0" fieldPosition="0"/>
    </format>
    <format dxfId="33">
      <pivotArea dataOnly="0" labelOnly="1" fieldPosition="0">
        <references count="1">
          <reference field="0" count="1">
            <x v="1"/>
          </reference>
        </references>
      </pivotArea>
    </format>
    <format dxfId="32">
      <pivotArea outline="0" collapsedLevelsAreSubtotals="1" fieldPosition="0">
        <references count="1">
          <reference field="0" count="1" selected="0">
            <x v="2"/>
          </reference>
        </references>
      </pivotArea>
    </format>
    <format dxfId="31">
      <pivotArea outline="0" collapsedLevelsAreSubtotals="1" fieldPosition="0">
        <references count="1">
          <reference field="0" count="1" selected="0">
            <x v="3"/>
          </reference>
        </references>
      </pivotArea>
    </format>
    <format dxfId="30">
      <pivotArea grandCol="1" outline="0" collapsedLevelsAreSubtotals="1" fieldPosition="0"/>
    </format>
  </formats>
  <chartFormats count="21">
    <chartFormat chart="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2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E26" totalsRowShown="0" headerRowDxfId="696">
  <autoFilter ref="A2:E26" xr:uid="{00000000-0009-0000-0100-000001000000}"/>
  <tableColumns count="5">
    <tableColumn id="1" xr3:uid="{00000000-0010-0000-0000-000001000000}" name="EQUIPEMENTNO"/>
    <tableColumn id="2" xr3:uid="{00000000-0010-0000-0000-000002000000}" name="Months"/>
    <tableColumn id="3" xr3:uid="{00000000-0010-0000-0000-000003000000}" name="Sum of HOURS"/>
    <tableColumn id="4" xr3:uid="{00000000-0010-0000-0000-000004000000}" name="Sum of DRILLMETER"/>
    <tableColumn id="5" xr3:uid="{00000000-0010-0000-0000-000005000000}" name="Sum of CLEANMET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5B068B-17A9-4368-B5AB-657B55FCB3B9}" name="Table5" displayName="Table5" ref="A1:G25" totalsRowShown="0" headerRowDxfId="695" headerRowBorderDxfId="694">
  <autoFilter ref="A1:G25" xr:uid="{F45B068B-17A9-4368-B5AB-657B55FCB3B9}"/>
  <tableColumns count="7">
    <tableColumn id="1" xr3:uid="{757DCBB0-02A1-4FCB-AA11-6C20D6AB2995}" name="Months"/>
    <tableColumn id="2" xr3:uid="{08CD3CD6-AA2D-4E26-9D7D-E792D0A5F37D}" name="Sum of HOURS_x000a_"/>
    <tableColumn id="3" xr3:uid="{6AC7FD8C-B542-4116-9A39-EA0F2D1F8C63}" name="Sum of DRILLMETER_x000a_"/>
    <tableColumn id="4" xr3:uid="{791441D9-40C5-4666-87EE-A34337B6A0F8}" name="Sum of CLEANMETER"/>
    <tableColumn id="5" xr3:uid="{270039C5-C760-4E7F-9B8A-C9B57D834BE8}" name="Drill Type"/>
    <tableColumn id="6" xr3:uid="{6D6FDA39-95F7-44BA-B5FB-284A526303E1}" name="Drill rates" dataDxfId="693">
      <calculatedColumnFormula>C2/B2</calculatedColumnFormula>
    </tableColumn>
    <tableColumn id="7" xr3:uid="{1A2EAB40-733E-476C-925A-CCFBF01CFF07}" name="Rig Number_x000a_" dataDxfId="692">
      <calculatedColumnFormula>IF(C2,D2/C2,0)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A3F8E-6EBF-4237-ABE3-B75DEB89BE02}">
  <dimension ref="A2:G12"/>
  <sheetViews>
    <sheetView workbookViewId="0">
      <selection activeCell="G11" sqref="G11"/>
    </sheetView>
  </sheetViews>
  <sheetFormatPr defaultRowHeight="14.5" x14ac:dyDescent="0.35"/>
  <cols>
    <col min="1" max="1" width="41.6328125" bestFit="1" customWidth="1"/>
    <col min="2" max="2" width="11.26953125" customWidth="1"/>
    <col min="3" max="3" width="12.81640625" customWidth="1"/>
    <col min="4" max="4" width="28.54296875" bestFit="1" customWidth="1"/>
    <col min="5" max="5" width="22.6328125" bestFit="1" customWidth="1"/>
    <col min="6" max="6" width="28" bestFit="1" customWidth="1"/>
    <col min="7" max="7" width="24.08984375" bestFit="1" customWidth="1"/>
  </cols>
  <sheetData>
    <row r="2" spans="1:7" x14ac:dyDescent="0.35">
      <c r="A2" t="s">
        <v>26</v>
      </c>
      <c r="B2" t="s">
        <v>20</v>
      </c>
      <c r="C2" t="s">
        <v>27</v>
      </c>
      <c r="D2" t="s">
        <v>28</v>
      </c>
      <c r="E2" t="s">
        <v>29</v>
      </c>
      <c r="F2" t="s">
        <v>30</v>
      </c>
      <c r="G2" t="s">
        <v>31</v>
      </c>
    </row>
    <row r="3" spans="1:7" x14ac:dyDescent="0.35">
      <c r="A3" t="s">
        <v>19</v>
      </c>
      <c r="B3">
        <v>6</v>
      </c>
      <c r="C3" s="3">
        <v>1756.25</v>
      </c>
      <c r="D3" s="10">
        <v>0.05</v>
      </c>
      <c r="E3" s="10">
        <v>0.1</v>
      </c>
      <c r="F3" s="3">
        <f>B3+(B3*D3)+(B3*E3)</f>
        <v>6.9</v>
      </c>
      <c r="G3" s="3">
        <f>C3*F3</f>
        <v>12118.125</v>
      </c>
    </row>
    <row r="4" spans="1:7" x14ac:dyDescent="0.35">
      <c r="A4" t="s">
        <v>21</v>
      </c>
      <c r="B4">
        <v>2</v>
      </c>
      <c r="C4" s="3">
        <v>2978.25</v>
      </c>
      <c r="D4" s="10">
        <v>0.05</v>
      </c>
      <c r="E4" s="10">
        <v>0.1</v>
      </c>
      <c r="F4" s="3">
        <f t="shared" ref="F4:F8" si="0">B4+(B4*D4)+(B4*E4)</f>
        <v>2.3000000000000003</v>
      </c>
      <c r="G4" s="3">
        <f t="shared" ref="G4:G8" si="1">C4*F4</f>
        <v>6849.9750000000004</v>
      </c>
    </row>
    <row r="5" spans="1:7" x14ac:dyDescent="0.35">
      <c r="A5" t="s">
        <v>22</v>
      </c>
      <c r="B5">
        <v>1</v>
      </c>
      <c r="C5" s="3">
        <v>2105.27</v>
      </c>
      <c r="D5" s="10">
        <v>0.05</v>
      </c>
      <c r="E5" s="10">
        <v>0.1</v>
      </c>
      <c r="F5" s="3">
        <f t="shared" si="0"/>
        <v>1.1500000000000001</v>
      </c>
      <c r="G5" s="3">
        <f t="shared" si="1"/>
        <v>2421.0605</v>
      </c>
    </row>
    <row r="6" spans="1:7" x14ac:dyDescent="0.35">
      <c r="A6" t="s">
        <v>23</v>
      </c>
      <c r="B6">
        <v>1</v>
      </c>
      <c r="C6" s="3">
        <v>1805.26</v>
      </c>
      <c r="D6" s="10">
        <v>0.05</v>
      </c>
      <c r="E6" s="10">
        <v>0.1</v>
      </c>
      <c r="F6" s="3">
        <f t="shared" si="0"/>
        <v>1.1500000000000001</v>
      </c>
      <c r="G6" s="3">
        <f t="shared" si="1"/>
        <v>2076.0490000000004</v>
      </c>
    </row>
    <row r="7" spans="1:7" x14ac:dyDescent="0.35">
      <c r="A7" t="s">
        <v>24</v>
      </c>
      <c r="B7">
        <v>20</v>
      </c>
      <c r="C7" s="3">
        <v>1095</v>
      </c>
      <c r="D7" s="10">
        <v>0.05</v>
      </c>
      <c r="E7" s="10">
        <v>0.1</v>
      </c>
      <c r="F7" s="3">
        <f t="shared" si="0"/>
        <v>23</v>
      </c>
      <c r="G7" s="3">
        <f t="shared" si="1"/>
        <v>25185</v>
      </c>
    </row>
    <row r="8" spans="1:7" x14ac:dyDescent="0.35">
      <c r="A8" t="s">
        <v>25</v>
      </c>
      <c r="B8">
        <v>20</v>
      </c>
      <c r="C8" s="3">
        <v>97.9</v>
      </c>
      <c r="D8" s="10">
        <v>0.05</v>
      </c>
      <c r="E8" s="10">
        <v>0.1</v>
      </c>
      <c r="F8" s="3">
        <f t="shared" si="0"/>
        <v>23</v>
      </c>
      <c r="G8" s="3">
        <f t="shared" si="1"/>
        <v>2251.7000000000003</v>
      </c>
    </row>
    <row r="9" spans="1:7" x14ac:dyDescent="0.35">
      <c r="D9" s="3"/>
    </row>
    <row r="10" spans="1:7" x14ac:dyDescent="0.35">
      <c r="A10" t="s">
        <v>32</v>
      </c>
      <c r="D10" s="3"/>
      <c r="G10" s="3">
        <f>SUM(G3:G8)</f>
        <v>50901.909499999994</v>
      </c>
    </row>
    <row r="11" spans="1:7" x14ac:dyDescent="0.35">
      <c r="B11" s="10"/>
      <c r="D11" s="3"/>
    </row>
    <row r="12" spans="1:7" x14ac:dyDescent="0.35">
      <c r="D12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E26"/>
  <sheetViews>
    <sheetView tabSelected="1" workbookViewId="0">
      <selection activeCell="E1" sqref="E1"/>
    </sheetView>
  </sheetViews>
  <sheetFormatPr defaultRowHeight="14.5" x14ac:dyDescent="0.35"/>
  <cols>
    <col min="1" max="1" width="16.7265625" customWidth="1"/>
    <col min="2" max="2" width="9.36328125" customWidth="1"/>
    <col min="3" max="3" width="15" customWidth="1"/>
    <col min="4" max="4" width="19.453125" customWidth="1"/>
    <col min="5" max="5" width="20.26953125" customWidth="1"/>
  </cols>
  <sheetData>
    <row r="2" spans="1:5" x14ac:dyDescent="0.3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</row>
    <row r="3" spans="1:5" x14ac:dyDescent="0.35">
      <c r="A3">
        <v>33438</v>
      </c>
      <c r="B3" t="s">
        <v>5</v>
      </c>
      <c r="C3">
        <v>641.5</v>
      </c>
      <c r="D3">
        <v>2060.8000000000002</v>
      </c>
      <c r="E3">
        <v>225.1</v>
      </c>
    </row>
    <row r="4" spans="1:5" x14ac:dyDescent="0.35">
      <c r="B4" t="s">
        <v>6</v>
      </c>
      <c r="C4">
        <v>516</v>
      </c>
      <c r="D4">
        <v>891.7</v>
      </c>
      <c r="E4">
        <v>169.4</v>
      </c>
    </row>
    <row r="5" spans="1:5" x14ac:dyDescent="0.35">
      <c r="B5" t="s">
        <v>7</v>
      </c>
      <c r="C5">
        <v>651.5</v>
      </c>
      <c r="D5">
        <v>1464.6</v>
      </c>
      <c r="E5">
        <v>212.6</v>
      </c>
    </row>
    <row r="6" spans="1:5" x14ac:dyDescent="0.35">
      <c r="B6" t="s">
        <v>8</v>
      </c>
      <c r="C6">
        <v>315</v>
      </c>
      <c r="D6">
        <v>57.2</v>
      </c>
    </row>
    <row r="7" spans="1:5" x14ac:dyDescent="0.35">
      <c r="A7">
        <v>33463</v>
      </c>
      <c r="B7" t="s">
        <v>5</v>
      </c>
      <c r="C7">
        <v>395.5</v>
      </c>
      <c r="D7">
        <v>649</v>
      </c>
      <c r="E7">
        <v>47</v>
      </c>
    </row>
    <row r="8" spans="1:5" x14ac:dyDescent="0.35">
      <c r="B8" t="s">
        <v>6</v>
      </c>
      <c r="C8">
        <v>675.5</v>
      </c>
      <c r="D8">
        <v>2602.4</v>
      </c>
      <c r="E8">
        <v>153.4</v>
      </c>
    </row>
    <row r="9" spans="1:5" x14ac:dyDescent="0.35">
      <c r="B9" t="s">
        <v>7</v>
      </c>
      <c r="C9">
        <v>677.5</v>
      </c>
      <c r="D9">
        <v>3401.2</v>
      </c>
      <c r="E9">
        <v>1054.5999999999999</v>
      </c>
    </row>
    <row r="10" spans="1:5" x14ac:dyDescent="0.35">
      <c r="B10" t="s">
        <v>8</v>
      </c>
      <c r="C10">
        <v>448.5</v>
      </c>
      <c r="D10">
        <v>1287.3</v>
      </c>
      <c r="E10">
        <v>53.5</v>
      </c>
    </row>
    <row r="11" spans="1:5" x14ac:dyDescent="0.35">
      <c r="A11">
        <v>33464</v>
      </c>
      <c r="B11" t="s">
        <v>5</v>
      </c>
      <c r="C11">
        <v>525</v>
      </c>
      <c r="D11">
        <v>685.4</v>
      </c>
    </row>
    <row r="12" spans="1:5" x14ac:dyDescent="0.35">
      <c r="B12" t="s">
        <v>6</v>
      </c>
      <c r="C12">
        <v>430.5</v>
      </c>
      <c r="D12">
        <v>0</v>
      </c>
    </row>
    <row r="13" spans="1:5" x14ac:dyDescent="0.35">
      <c r="B13" t="s">
        <v>7</v>
      </c>
      <c r="C13">
        <v>462</v>
      </c>
      <c r="D13">
        <v>393.1</v>
      </c>
    </row>
    <row r="14" spans="1:5" x14ac:dyDescent="0.35">
      <c r="B14" t="s">
        <v>8</v>
      </c>
      <c r="C14">
        <v>460</v>
      </c>
      <c r="D14">
        <v>3518.7</v>
      </c>
      <c r="E14">
        <v>431</v>
      </c>
    </row>
    <row r="15" spans="1:5" x14ac:dyDescent="0.35">
      <c r="A15">
        <v>33469</v>
      </c>
      <c r="B15" t="s">
        <v>5</v>
      </c>
      <c r="C15">
        <v>701</v>
      </c>
      <c r="D15">
        <v>4068.3</v>
      </c>
      <c r="E15">
        <v>258</v>
      </c>
    </row>
    <row r="16" spans="1:5" x14ac:dyDescent="0.35">
      <c r="B16" t="s">
        <v>6</v>
      </c>
      <c r="C16">
        <v>611</v>
      </c>
      <c r="D16">
        <v>3162.7</v>
      </c>
      <c r="E16">
        <v>596.5</v>
      </c>
    </row>
    <row r="17" spans="1:5" x14ac:dyDescent="0.35">
      <c r="B17" t="s">
        <v>7</v>
      </c>
      <c r="C17">
        <v>728.5</v>
      </c>
      <c r="D17">
        <v>4414.7</v>
      </c>
      <c r="E17">
        <v>588.4</v>
      </c>
    </row>
    <row r="18" spans="1:5" x14ac:dyDescent="0.35">
      <c r="B18" t="s">
        <v>8</v>
      </c>
      <c r="C18">
        <v>428.5</v>
      </c>
      <c r="D18">
        <v>2632.3</v>
      </c>
      <c r="E18">
        <v>300</v>
      </c>
    </row>
    <row r="19" spans="1:5" x14ac:dyDescent="0.35">
      <c r="A19">
        <v>33477</v>
      </c>
      <c r="B19" t="s">
        <v>5</v>
      </c>
      <c r="C19">
        <v>63</v>
      </c>
      <c r="D19">
        <v>0</v>
      </c>
    </row>
    <row r="20" spans="1:5" x14ac:dyDescent="0.35">
      <c r="B20" t="s">
        <v>6</v>
      </c>
      <c r="C20">
        <v>73.5</v>
      </c>
      <c r="D20">
        <v>10</v>
      </c>
    </row>
    <row r="21" spans="1:5" x14ac:dyDescent="0.35">
      <c r="B21" t="s">
        <v>7</v>
      </c>
      <c r="C21">
        <v>210</v>
      </c>
      <c r="D21">
        <v>189.7</v>
      </c>
    </row>
    <row r="22" spans="1:5" x14ac:dyDescent="0.35">
      <c r="B22" t="s">
        <v>8</v>
      </c>
      <c r="C22">
        <v>262.5</v>
      </c>
      <c r="D22">
        <v>133</v>
      </c>
      <c r="E22">
        <v>27</v>
      </c>
    </row>
    <row r="23" spans="1:5" x14ac:dyDescent="0.35">
      <c r="A23" t="s">
        <v>9</v>
      </c>
      <c r="B23" t="s">
        <v>5</v>
      </c>
      <c r="C23">
        <v>552</v>
      </c>
      <c r="D23">
        <v>1212.5999999999999</v>
      </c>
      <c r="E23">
        <v>491.1</v>
      </c>
    </row>
    <row r="24" spans="1:5" x14ac:dyDescent="0.35">
      <c r="B24" t="s">
        <v>6</v>
      </c>
      <c r="C24">
        <v>462</v>
      </c>
      <c r="D24">
        <v>1285</v>
      </c>
      <c r="E24">
        <v>746.8</v>
      </c>
    </row>
    <row r="25" spans="1:5" x14ac:dyDescent="0.35">
      <c r="B25" t="s">
        <v>7</v>
      </c>
      <c r="C25">
        <v>617.5</v>
      </c>
      <c r="D25">
        <v>2274.5</v>
      </c>
      <c r="E25">
        <v>7.2</v>
      </c>
    </row>
    <row r="26" spans="1:5" x14ac:dyDescent="0.35">
      <c r="B26" t="s">
        <v>8</v>
      </c>
      <c r="C26">
        <v>304.5</v>
      </c>
      <c r="D26">
        <v>1099.2</v>
      </c>
      <c r="E26">
        <v>292.89999999999998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F9E84-4AC8-4D08-84C1-E186B09A7CA3}">
  <dimension ref="A1:G25"/>
  <sheetViews>
    <sheetView topLeftCell="A8" workbookViewId="0">
      <selection activeCell="G24" sqref="G24"/>
    </sheetView>
  </sheetViews>
  <sheetFormatPr defaultRowHeight="14.5" x14ac:dyDescent="0.35"/>
  <cols>
    <col min="1" max="1" width="9.36328125" customWidth="1"/>
    <col min="4" max="4" width="20.26953125" customWidth="1"/>
    <col min="5" max="5" width="20.90625" bestFit="1" customWidth="1"/>
    <col min="6" max="6" width="10.90625" style="2" customWidth="1"/>
    <col min="7" max="7" width="8.7265625" style="2"/>
  </cols>
  <sheetData>
    <row r="1" spans="1:7" ht="58.5" thickBot="1" x14ac:dyDescent="0.4">
      <c r="A1" s="4" t="s">
        <v>1</v>
      </c>
      <c r="B1" s="5" t="s">
        <v>14</v>
      </c>
      <c r="C1" s="5" t="s">
        <v>13</v>
      </c>
      <c r="D1" s="5" t="s">
        <v>4</v>
      </c>
      <c r="E1" s="6" t="s">
        <v>10</v>
      </c>
      <c r="F1" s="8" t="s">
        <v>11</v>
      </c>
      <c r="G1" s="7" t="s">
        <v>15</v>
      </c>
    </row>
    <row r="2" spans="1:7" ht="44" thickTop="1" x14ac:dyDescent="0.35">
      <c r="A2" t="s">
        <v>5</v>
      </c>
      <c r="B2">
        <v>641.5</v>
      </c>
      <c r="C2">
        <v>2060.8000000000002</v>
      </c>
      <c r="D2">
        <v>225.1</v>
      </c>
      <c r="E2" t="s">
        <v>18</v>
      </c>
      <c r="F2" s="2">
        <f>C2/B2</f>
        <v>3.2124707716289946</v>
      </c>
      <c r="G2" s="9">
        <f t="shared" ref="G2:G25" si="0">IF(C2,D2/C2,0)</f>
        <v>0.1092294254658385</v>
      </c>
    </row>
    <row r="3" spans="1:7" x14ac:dyDescent="0.35">
      <c r="A3" t="s">
        <v>6</v>
      </c>
      <c r="B3">
        <v>516</v>
      </c>
      <c r="C3">
        <v>891.7</v>
      </c>
      <c r="D3">
        <v>169.4</v>
      </c>
      <c r="E3" t="s">
        <v>18</v>
      </c>
      <c r="F3" s="2">
        <f t="shared" ref="F3:F25" si="1">C3/B3</f>
        <v>1.7281007751937985</v>
      </c>
      <c r="G3" s="2">
        <f t="shared" si="0"/>
        <v>0.18997420657171693</v>
      </c>
    </row>
    <row r="4" spans="1:7" x14ac:dyDescent="0.35">
      <c r="A4" t="s">
        <v>7</v>
      </c>
      <c r="B4">
        <v>651.5</v>
      </c>
      <c r="C4">
        <v>1464.6</v>
      </c>
      <c r="D4">
        <v>212.6</v>
      </c>
      <c r="E4" t="s">
        <v>18</v>
      </c>
      <c r="F4" s="2">
        <f t="shared" si="1"/>
        <v>2.2480429777436681</v>
      </c>
      <c r="G4" s="2">
        <f t="shared" si="0"/>
        <v>0.14515908780554418</v>
      </c>
    </row>
    <row r="5" spans="1:7" x14ac:dyDescent="0.35">
      <c r="A5" t="s">
        <v>8</v>
      </c>
      <c r="B5">
        <v>315</v>
      </c>
      <c r="C5">
        <v>57.2</v>
      </c>
      <c r="D5">
        <f ca="1">IF(ISBLANK(D5),0,D5)</f>
        <v>0</v>
      </c>
      <c r="E5" t="s">
        <v>18</v>
      </c>
      <c r="F5" s="2">
        <f t="shared" si="1"/>
        <v>0.1815873015873016</v>
      </c>
      <c r="G5" s="2">
        <f t="shared" ca="1" si="0"/>
        <v>0</v>
      </c>
    </row>
    <row r="6" spans="1:7" x14ac:dyDescent="0.35">
      <c r="A6" t="s">
        <v>5</v>
      </c>
      <c r="B6">
        <v>395.5</v>
      </c>
      <c r="C6">
        <v>649</v>
      </c>
      <c r="D6">
        <v>47</v>
      </c>
      <c r="E6" t="s">
        <v>12</v>
      </c>
      <c r="F6" s="2">
        <f t="shared" si="1"/>
        <v>1.6409608091024019</v>
      </c>
      <c r="G6" s="2">
        <f t="shared" si="0"/>
        <v>7.24191063174114E-2</v>
      </c>
    </row>
    <row r="7" spans="1:7" x14ac:dyDescent="0.35">
      <c r="A7" t="s">
        <v>6</v>
      </c>
      <c r="B7">
        <v>675.5</v>
      </c>
      <c r="C7">
        <v>2602.4</v>
      </c>
      <c r="D7">
        <v>153.4</v>
      </c>
      <c r="E7" t="s">
        <v>12</v>
      </c>
      <c r="F7" s="2">
        <f t="shared" si="1"/>
        <v>3.8525536639526279</v>
      </c>
      <c r="G7" s="2">
        <f t="shared" si="0"/>
        <v>5.8945588687365512E-2</v>
      </c>
    </row>
    <row r="8" spans="1:7" x14ac:dyDescent="0.35">
      <c r="A8" t="s">
        <v>7</v>
      </c>
      <c r="B8">
        <v>677.5</v>
      </c>
      <c r="C8">
        <v>3401.2</v>
      </c>
      <c r="D8">
        <v>1054.5999999999999</v>
      </c>
      <c r="E8" t="s">
        <v>12</v>
      </c>
      <c r="F8" s="2">
        <f t="shared" si="1"/>
        <v>5.0202214022140215</v>
      </c>
      <c r="G8" s="2">
        <f t="shared" si="0"/>
        <v>0.31006703516405976</v>
      </c>
    </row>
    <row r="9" spans="1:7" x14ac:dyDescent="0.35">
      <c r="A9" t="s">
        <v>8</v>
      </c>
      <c r="B9">
        <v>448.5</v>
      </c>
      <c r="C9">
        <v>1287.3</v>
      </c>
      <c r="D9">
        <v>53.5</v>
      </c>
      <c r="E9" t="s">
        <v>12</v>
      </c>
      <c r="F9" s="2">
        <f t="shared" si="1"/>
        <v>2.8702341137123746</v>
      </c>
      <c r="G9" s="2">
        <f t="shared" si="0"/>
        <v>4.1559853957896374E-2</v>
      </c>
    </row>
    <row r="10" spans="1:7" x14ac:dyDescent="0.35">
      <c r="A10" t="s">
        <v>5</v>
      </c>
      <c r="B10">
        <v>525</v>
      </c>
      <c r="C10">
        <v>685.4</v>
      </c>
      <c r="D10">
        <f ca="1">IF(ISBLANK(D10),0,D10)</f>
        <v>0</v>
      </c>
      <c r="E10" t="s">
        <v>12</v>
      </c>
      <c r="F10" s="2">
        <f t="shared" si="1"/>
        <v>1.3055238095238095</v>
      </c>
      <c r="G10" s="2">
        <f t="shared" ca="1" si="0"/>
        <v>0</v>
      </c>
    </row>
    <row r="11" spans="1:7" x14ac:dyDescent="0.35">
      <c r="A11" t="s">
        <v>6</v>
      </c>
      <c r="B11">
        <v>430.5</v>
      </c>
      <c r="C11">
        <v>0</v>
      </c>
      <c r="D11">
        <f t="shared" ref="D11:D12" ca="1" si="2">IF(ISBLANK(D11),0,D11)</f>
        <v>0</v>
      </c>
      <c r="E11" t="s">
        <v>12</v>
      </c>
      <c r="F11" s="2">
        <f t="shared" si="1"/>
        <v>0</v>
      </c>
      <c r="G11" s="2">
        <f t="shared" si="0"/>
        <v>0</v>
      </c>
    </row>
    <row r="12" spans="1:7" x14ac:dyDescent="0.35">
      <c r="A12" t="s">
        <v>7</v>
      </c>
      <c r="B12">
        <v>462</v>
      </c>
      <c r="C12">
        <v>393.1</v>
      </c>
      <c r="D12">
        <f t="shared" ca="1" si="2"/>
        <v>0</v>
      </c>
      <c r="E12" t="s">
        <v>12</v>
      </c>
      <c r="F12" s="2">
        <f t="shared" si="1"/>
        <v>0.85086580086580088</v>
      </c>
      <c r="G12" s="2">
        <f t="shared" ca="1" si="0"/>
        <v>0</v>
      </c>
    </row>
    <row r="13" spans="1:7" x14ac:dyDescent="0.35">
      <c r="A13" t="s">
        <v>8</v>
      </c>
      <c r="B13">
        <v>460</v>
      </c>
      <c r="C13">
        <v>3518.7</v>
      </c>
      <c r="D13">
        <v>431</v>
      </c>
      <c r="E13" t="s">
        <v>12</v>
      </c>
      <c r="F13" s="2">
        <f t="shared" si="1"/>
        <v>7.6493478260869558</v>
      </c>
      <c r="G13" s="2">
        <f t="shared" si="0"/>
        <v>0.12248841901838747</v>
      </c>
    </row>
    <row r="14" spans="1:7" x14ac:dyDescent="0.35">
      <c r="A14" t="s">
        <v>5</v>
      </c>
      <c r="B14">
        <v>701</v>
      </c>
      <c r="C14">
        <v>4068.3</v>
      </c>
      <c r="D14">
        <v>258</v>
      </c>
      <c r="E14" t="s">
        <v>12</v>
      </c>
      <c r="F14" s="2">
        <f t="shared" si="1"/>
        <v>5.8035663338088446</v>
      </c>
      <c r="G14" s="2">
        <f t="shared" si="0"/>
        <v>6.3417152127424228E-2</v>
      </c>
    </row>
    <row r="15" spans="1:7" x14ac:dyDescent="0.35">
      <c r="A15" t="s">
        <v>6</v>
      </c>
      <c r="B15">
        <v>611</v>
      </c>
      <c r="C15">
        <v>3162.7</v>
      </c>
      <c r="D15">
        <v>596.5</v>
      </c>
      <c r="E15" t="s">
        <v>12</v>
      </c>
      <c r="F15" s="2">
        <f t="shared" si="1"/>
        <v>5.1762684124386249</v>
      </c>
      <c r="G15" s="2">
        <f t="shared" si="0"/>
        <v>0.18860467322224683</v>
      </c>
    </row>
    <row r="16" spans="1:7" x14ac:dyDescent="0.35">
      <c r="A16" t="s">
        <v>7</v>
      </c>
      <c r="B16">
        <v>728.5</v>
      </c>
      <c r="C16">
        <v>4414.7</v>
      </c>
      <c r="D16">
        <v>588.4</v>
      </c>
      <c r="E16" t="s">
        <v>12</v>
      </c>
      <c r="F16" s="2">
        <f t="shared" si="1"/>
        <v>6.0599862731640357</v>
      </c>
      <c r="G16" s="2">
        <f t="shared" si="0"/>
        <v>0.1332819897161755</v>
      </c>
    </row>
    <row r="17" spans="1:7" x14ac:dyDescent="0.35">
      <c r="A17" t="s">
        <v>8</v>
      </c>
      <c r="B17">
        <v>428.5</v>
      </c>
      <c r="C17">
        <v>2632.3</v>
      </c>
      <c r="D17">
        <v>300</v>
      </c>
      <c r="E17" t="s">
        <v>12</v>
      </c>
      <c r="F17" s="2">
        <f t="shared" si="1"/>
        <v>6.1430571761960335</v>
      </c>
      <c r="G17" s="2">
        <f t="shared" si="0"/>
        <v>0.11396877255631956</v>
      </c>
    </row>
    <row r="18" spans="1:7" x14ac:dyDescent="0.35">
      <c r="A18" t="s">
        <v>5</v>
      </c>
      <c r="B18">
        <v>63</v>
      </c>
      <c r="C18">
        <v>0</v>
      </c>
      <c r="D18">
        <f ca="1">IF(ISBLANK(D18),0,D18)</f>
        <v>0</v>
      </c>
      <c r="E18" t="s">
        <v>18</v>
      </c>
      <c r="F18" s="2">
        <f t="shared" si="1"/>
        <v>0</v>
      </c>
      <c r="G18" s="2">
        <f t="shared" si="0"/>
        <v>0</v>
      </c>
    </row>
    <row r="19" spans="1:7" x14ac:dyDescent="0.35">
      <c r="A19" t="s">
        <v>6</v>
      </c>
      <c r="B19">
        <v>73.5</v>
      </c>
      <c r="C19">
        <v>10</v>
      </c>
      <c r="D19">
        <f t="shared" ref="D19:D20" ca="1" si="3">IF(ISBLANK(D19),0,D19)</f>
        <v>0</v>
      </c>
      <c r="E19" t="s">
        <v>18</v>
      </c>
      <c r="F19" s="2">
        <f t="shared" si="1"/>
        <v>0.1360544217687075</v>
      </c>
      <c r="G19" s="2">
        <f t="shared" ca="1" si="0"/>
        <v>0</v>
      </c>
    </row>
    <row r="20" spans="1:7" x14ac:dyDescent="0.35">
      <c r="A20" t="s">
        <v>7</v>
      </c>
      <c r="B20">
        <v>210</v>
      </c>
      <c r="C20">
        <v>189.7</v>
      </c>
      <c r="D20">
        <f t="shared" ca="1" si="3"/>
        <v>0</v>
      </c>
      <c r="E20" t="s">
        <v>18</v>
      </c>
      <c r="F20" s="2">
        <f t="shared" si="1"/>
        <v>0.90333333333333332</v>
      </c>
      <c r="G20" s="2">
        <f t="shared" ca="1" si="0"/>
        <v>0</v>
      </c>
    </row>
    <row r="21" spans="1:7" x14ac:dyDescent="0.35">
      <c r="A21" t="s">
        <v>8</v>
      </c>
      <c r="B21">
        <v>262.5</v>
      </c>
      <c r="C21">
        <v>133</v>
      </c>
      <c r="D21">
        <v>27</v>
      </c>
      <c r="E21" t="s">
        <v>18</v>
      </c>
      <c r="F21" s="2">
        <f t="shared" si="1"/>
        <v>0.50666666666666671</v>
      </c>
      <c r="G21" s="2">
        <f t="shared" si="0"/>
        <v>0.20300751879699247</v>
      </c>
    </row>
    <row r="22" spans="1:7" x14ac:dyDescent="0.35">
      <c r="A22" t="s">
        <v>5</v>
      </c>
      <c r="B22">
        <v>552</v>
      </c>
      <c r="C22">
        <v>1212.5999999999999</v>
      </c>
      <c r="D22">
        <v>491.1</v>
      </c>
      <c r="E22" t="s">
        <v>18</v>
      </c>
      <c r="F22" s="2">
        <f t="shared" si="1"/>
        <v>2.1967391304347825</v>
      </c>
      <c r="G22" s="2">
        <f t="shared" si="0"/>
        <v>0.40499752597723904</v>
      </c>
    </row>
    <row r="23" spans="1:7" x14ac:dyDescent="0.35">
      <c r="A23" t="s">
        <v>6</v>
      </c>
      <c r="B23">
        <v>462</v>
      </c>
      <c r="C23">
        <v>1285</v>
      </c>
      <c r="D23">
        <v>746.8</v>
      </c>
      <c r="E23" t="s">
        <v>18</v>
      </c>
      <c r="F23" s="2">
        <f t="shared" si="1"/>
        <v>2.7813852813852815</v>
      </c>
      <c r="G23" s="2">
        <f t="shared" si="0"/>
        <v>0.58116731517509723</v>
      </c>
    </row>
    <row r="24" spans="1:7" x14ac:dyDescent="0.35">
      <c r="A24" t="s">
        <v>7</v>
      </c>
      <c r="B24">
        <v>617.5</v>
      </c>
      <c r="C24">
        <v>2274.5</v>
      </c>
      <c r="D24">
        <v>72</v>
      </c>
      <c r="E24" t="s">
        <v>18</v>
      </c>
      <c r="F24" s="2">
        <f t="shared" si="1"/>
        <v>3.6834008097165993</v>
      </c>
      <c r="G24" s="2">
        <f t="shared" si="0"/>
        <v>3.165530885908991E-2</v>
      </c>
    </row>
    <row r="25" spans="1:7" x14ac:dyDescent="0.35">
      <c r="A25" t="s">
        <v>8</v>
      </c>
      <c r="B25">
        <v>304.5</v>
      </c>
      <c r="C25">
        <v>1099.2</v>
      </c>
      <c r="D25">
        <v>292.89999999999998</v>
      </c>
      <c r="E25" t="s">
        <v>18</v>
      </c>
      <c r="F25" s="2">
        <f t="shared" si="1"/>
        <v>3.6098522167487688</v>
      </c>
      <c r="G25" s="2">
        <f t="shared" si="0"/>
        <v>0.26646652110625907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430AC-5A01-4456-9B32-A26C90410154}">
  <dimension ref="A1:J76"/>
  <sheetViews>
    <sheetView zoomScale="96" zoomScaleNormal="96" workbookViewId="0">
      <selection activeCell="J18" sqref="J18"/>
    </sheetView>
  </sheetViews>
  <sheetFormatPr defaultRowHeight="14.5" x14ac:dyDescent="0.35"/>
  <cols>
    <col min="1" max="1" width="16.26953125" style="13" bestFit="1" customWidth="1"/>
    <col min="2" max="2" width="17.08984375" style="13" bestFit="1" customWidth="1"/>
    <col min="3" max="5" width="6.6328125" style="13" bestFit="1" customWidth="1"/>
    <col min="6" max="6" width="10.7265625" style="13" bestFit="1" customWidth="1"/>
    <col min="7" max="7" width="24.81640625" style="13" bestFit="1" customWidth="1"/>
    <col min="8" max="8" width="16.26953125" style="13" bestFit="1" customWidth="1"/>
    <col min="9" max="9" width="24.81640625" style="13" bestFit="1" customWidth="1"/>
    <col min="10" max="10" width="21.1796875" style="13" bestFit="1" customWidth="1"/>
    <col min="11" max="11" width="29.7265625" bestFit="1" customWidth="1"/>
    <col min="12" max="12" width="18" bestFit="1" customWidth="1"/>
    <col min="13" max="13" width="15.26953125" bestFit="1" customWidth="1"/>
    <col min="14" max="14" width="21.1796875" bestFit="1" customWidth="1"/>
    <col min="15" max="15" width="22.81640625" bestFit="1" customWidth="1"/>
    <col min="16" max="16" width="20.08984375" bestFit="1" customWidth="1"/>
  </cols>
  <sheetData>
    <row r="1" spans="1:10" x14ac:dyDescent="0.35">
      <c r="A1" s="14" t="s">
        <v>10</v>
      </c>
      <c r="B1" s="13" t="s">
        <v>18</v>
      </c>
    </row>
    <row r="3" spans="1:10" x14ac:dyDescent="0.35">
      <c r="A3" s="14" t="s">
        <v>33</v>
      </c>
      <c r="B3" s="14" t="s">
        <v>34</v>
      </c>
      <c r="G3"/>
      <c r="H3"/>
      <c r="I3"/>
      <c r="J3"/>
    </row>
    <row r="4" spans="1:10" x14ac:dyDescent="0.35">
      <c r="A4" s="11" t="s">
        <v>16</v>
      </c>
      <c r="B4" s="13" t="s">
        <v>5</v>
      </c>
      <c r="C4" s="13" t="s">
        <v>6</v>
      </c>
      <c r="D4" t="s">
        <v>7</v>
      </c>
      <c r="E4" t="s">
        <v>8</v>
      </c>
      <c r="F4" t="s">
        <v>17</v>
      </c>
      <c r="G4"/>
      <c r="H4"/>
      <c r="I4"/>
      <c r="J4"/>
    </row>
    <row r="5" spans="1:10" x14ac:dyDescent="0.35">
      <c r="A5" s="12">
        <v>0</v>
      </c>
      <c r="B5" s="13">
        <v>0</v>
      </c>
      <c r="C5" s="13">
        <v>0.1360544217687075</v>
      </c>
      <c r="D5" s="13">
        <v>0.90333333333333332</v>
      </c>
      <c r="E5" s="13">
        <v>0.1815873015873016</v>
      </c>
      <c r="F5" s="13">
        <v>1.2209750566893423</v>
      </c>
      <c r="G5"/>
      <c r="H5"/>
      <c r="I5"/>
      <c r="J5"/>
    </row>
    <row r="6" spans="1:10" x14ac:dyDescent="0.35">
      <c r="A6" s="12">
        <v>3.165530885908991E-2</v>
      </c>
      <c r="D6" s="13">
        <v>3.6834008097165993</v>
      </c>
      <c r="F6" s="13">
        <v>3.6834008097165993</v>
      </c>
      <c r="G6"/>
      <c r="H6"/>
      <c r="I6"/>
      <c r="J6"/>
    </row>
    <row r="7" spans="1:10" x14ac:dyDescent="0.35">
      <c r="A7" s="12">
        <v>0.1092294254658385</v>
      </c>
      <c r="B7" s="13">
        <v>3.2124707716289946</v>
      </c>
      <c r="F7" s="13">
        <v>3.2124707716289946</v>
      </c>
      <c r="G7"/>
      <c r="H7"/>
      <c r="I7"/>
      <c r="J7"/>
    </row>
    <row r="8" spans="1:10" x14ac:dyDescent="0.35">
      <c r="A8" s="12">
        <v>0.14515908780554418</v>
      </c>
      <c r="D8" s="13">
        <v>2.2480429777436681</v>
      </c>
      <c r="F8" s="13">
        <v>2.2480429777436681</v>
      </c>
      <c r="G8"/>
      <c r="H8"/>
      <c r="I8"/>
      <c r="J8"/>
    </row>
    <row r="9" spans="1:10" x14ac:dyDescent="0.35">
      <c r="A9" s="12">
        <v>0.18997420657171693</v>
      </c>
      <c r="C9" s="13">
        <v>1.7281007751937985</v>
      </c>
      <c r="F9" s="13">
        <v>1.7281007751937985</v>
      </c>
      <c r="G9"/>
      <c r="H9"/>
      <c r="I9"/>
      <c r="J9"/>
    </row>
    <row r="10" spans="1:10" x14ac:dyDescent="0.35">
      <c r="A10" s="12">
        <v>0.20300751879699247</v>
      </c>
      <c r="E10" s="13">
        <v>0.50666666666666671</v>
      </c>
      <c r="F10" s="13">
        <v>0.50666666666666671</v>
      </c>
      <c r="G10"/>
      <c r="H10"/>
      <c r="I10"/>
      <c r="J10"/>
    </row>
    <row r="11" spans="1:10" x14ac:dyDescent="0.35">
      <c r="A11" s="12">
        <v>0.26646652110625907</v>
      </c>
      <c r="E11" s="13">
        <v>3.6098522167487688</v>
      </c>
      <c r="F11" s="13">
        <v>3.6098522167487688</v>
      </c>
      <c r="G11"/>
      <c r="H11"/>
      <c r="I11"/>
      <c r="J11"/>
    </row>
    <row r="12" spans="1:10" x14ac:dyDescent="0.35">
      <c r="A12" s="12">
        <v>0.40499752597723904</v>
      </c>
      <c r="B12" s="13">
        <v>2.1967391304347825</v>
      </c>
      <c r="F12" s="13">
        <v>2.1967391304347825</v>
      </c>
      <c r="G12"/>
      <c r="H12"/>
      <c r="I12"/>
      <c r="J12"/>
    </row>
    <row r="13" spans="1:10" x14ac:dyDescent="0.35">
      <c r="A13" s="12">
        <v>0.58116731517509723</v>
      </c>
      <c r="C13" s="13">
        <v>2.7813852813852815</v>
      </c>
      <c r="F13" s="13">
        <v>2.7813852813852815</v>
      </c>
      <c r="G13"/>
      <c r="H13"/>
      <c r="I13"/>
      <c r="J13"/>
    </row>
    <row r="14" spans="1:10" x14ac:dyDescent="0.35">
      <c r="A14" s="15" t="s">
        <v>17</v>
      </c>
      <c r="B14" s="13">
        <v>5.4092099020637772</v>
      </c>
      <c r="C14" s="13">
        <v>4.6455404783477876</v>
      </c>
      <c r="D14" s="13">
        <v>6.8347771207936008</v>
      </c>
      <c r="E14" s="13">
        <v>4.2981061850027373</v>
      </c>
      <c r="F14" s="13">
        <v>21.187633686207903</v>
      </c>
      <c r="G14"/>
      <c r="H14"/>
      <c r="I14"/>
      <c r="J14"/>
    </row>
    <row r="15" spans="1:10" x14ac:dyDescent="0.35">
      <c r="A15"/>
      <c r="B15"/>
      <c r="C15"/>
      <c r="D15"/>
      <c r="E15"/>
      <c r="F15"/>
      <c r="G15"/>
      <c r="H15"/>
      <c r="I15"/>
      <c r="J15"/>
    </row>
    <row r="16" spans="1:10" x14ac:dyDescent="0.35">
      <c r="A16"/>
      <c r="G16"/>
      <c r="H16"/>
      <c r="I16"/>
      <c r="J16"/>
    </row>
    <row r="17" spans="1:10" x14ac:dyDescent="0.35">
      <c r="A17"/>
      <c r="G17"/>
      <c r="H17"/>
      <c r="I17"/>
      <c r="J17"/>
    </row>
    <row r="18" spans="1:10" x14ac:dyDescent="0.35">
      <c r="A18"/>
      <c r="G18"/>
      <c r="H18"/>
      <c r="I18"/>
      <c r="J18"/>
    </row>
    <row r="19" spans="1:10" x14ac:dyDescent="0.35">
      <c r="A19"/>
      <c r="G19"/>
      <c r="H19"/>
      <c r="I19"/>
      <c r="J19"/>
    </row>
    <row r="20" spans="1:10" x14ac:dyDescent="0.35">
      <c r="A20"/>
      <c r="G20"/>
      <c r="H20"/>
      <c r="I20"/>
      <c r="J20"/>
    </row>
    <row r="21" spans="1:10" x14ac:dyDescent="0.35">
      <c r="A21"/>
      <c r="G21"/>
      <c r="H21"/>
      <c r="I21"/>
      <c r="J21"/>
    </row>
    <row r="22" spans="1:10" x14ac:dyDescent="0.35">
      <c r="A22"/>
      <c r="G22"/>
      <c r="H22"/>
      <c r="I22"/>
      <c r="J22"/>
    </row>
    <row r="23" spans="1:10" x14ac:dyDescent="0.35">
      <c r="A23"/>
      <c r="G23"/>
      <c r="H23"/>
      <c r="I23"/>
      <c r="J23"/>
    </row>
    <row r="24" spans="1:10" x14ac:dyDescent="0.35">
      <c r="A24"/>
      <c r="G24"/>
      <c r="H24"/>
      <c r="I24"/>
      <c r="J24"/>
    </row>
    <row r="25" spans="1:10" x14ac:dyDescent="0.35">
      <c r="A25"/>
      <c r="G25"/>
      <c r="H25"/>
      <c r="I25"/>
      <c r="J25"/>
    </row>
    <row r="26" spans="1:10" x14ac:dyDescent="0.35">
      <c r="A26"/>
      <c r="G26"/>
      <c r="H26"/>
      <c r="I26"/>
      <c r="J26"/>
    </row>
    <row r="27" spans="1:10" x14ac:dyDescent="0.35">
      <c r="A27"/>
      <c r="G27"/>
      <c r="H27"/>
      <c r="I27"/>
      <c r="J27"/>
    </row>
    <row r="28" spans="1:10" x14ac:dyDescent="0.35">
      <c r="A28"/>
      <c r="G28"/>
      <c r="H28"/>
      <c r="I28"/>
      <c r="J28"/>
    </row>
    <row r="29" spans="1:10" x14ac:dyDescent="0.35">
      <c r="A29"/>
      <c r="G29"/>
      <c r="H29"/>
      <c r="I29"/>
      <c r="J29"/>
    </row>
    <row r="30" spans="1:10" x14ac:dyDescent="0.35">
      <c r="A30"/>
      <c r="G30"/>
      <c r="H30"/>
      <c r="I30"/>
      <c r="J30"/>
    </row>
    <row r="31" spans="1:10" x14ac:dyDescent="0.35">
      <c r="A31"/>
      <c r="G31"/>
      <c r="H31"/>
      <c r="I31"/>
      <c r="J31"/>
    </row>
    <row r="32" spans="1:10" x14ac:dyDescent="0.35">
      <c r="A32"/>
      <c r="G32"/>
      <c r="H32"/>
      <c r="I32"/>
      <c r="J32"/>
    </row>
    <row r="33" spans="1:10" x14ac:dyDescent="0.35">
      <c r="A33"/>
      <c r="G33"/>
      <c r="H33"/>
      <c r="I33"/>
      <c r="J33"/>
    </row>
    <row r="34" spans="1:10" x14ac:dyDescent="0.35">
      <c r="A34"/>
      <c r="G34"/>
      <c r="H34"/>
      <c r="I34"/>
      <c r="J34"/>
    </row>
    <row r="35" spans="1:10" x14ac:dyDescent="0.35">
      <c r="A35"/>
      <c r="G35"/>
      <c r="H35"/>
      <c r="I35"/>
      <c r="J35"/>
    </row>
    <row r="36" spans="1:10" x14ac:dyDescent="0.35">
      <c r="A36"/>
      <c r="G36"/>
      <c r="H36"/>
      <c r="I36"/>
      <c r="J36"/>
    </row>
    <row r="37" spans="1:10" x14ac:dyDescent="0.35">
      <c r="A37"/>
      <c r="G37"/>
      <c r="H37"/>
      <c r="I37"/>
      <c r="J37"/>
    </row>
    <row r="38" spans="1:10" x14ac:dyDescent="0.35">
      <c r="A38"/>
      <c r="G38"/>
      <c r="H38"/>
      <c r="I38"/>
      <c r="J38"/>
    </row>
    <row r="39" spans="1:10" x14ac:dyDescent="0.35">
      <c r="A39"/>
      <c r="G39"/>
      <c r="H39"/>
      <c r="I39"/>
      <c r="J39"/>
    </row>
    <row r="40" spans="1:10" x14ac:dyDescent="0.35">
      <c r="A40"/>
      <c r="G40"/>
      <c r="H40"/>
      <c r="I40"/>
      <c r="J40"/>
    </row>
    <row r="41" spans="1:10" x14ac:dyDescent="0.35">
      <c r="A41"/>
      <c r="G41"/>
      <c r="H41"/>
      <c r="I41"/>
      <c r="J41"/>
    </row>
    <row r="42" spans="1:10" x14ac:dyDescent="0.35">
      <c r="A42"/>
      <c r="G42"/>
      <c r="H42"/>
      <c r="I42"/>
      <c r="J42"/>
    </row>
    <row r="43" spans="1:10" x14ac:dyDescent="0.35">
      <c r="A43"/>
      <c r="G43"/>
      <c r="H43"/>
      <c r="I43"/>
      <c r="J43"/>
    </row>
    <row r="44" spans="1:10" x14ac:dyDescent="0.35">
      <c r="A44"/>
      <c r="G44"/>
      <c r="H44"/>
      <c r="I44"/>
      <c r="J44"/>
    </row>
    <row r="45" spans="1:10" x14ac:dyDescent="0.35">
      <c r="A45"/>
      <c r="G45"/>
      <c r="H45"/>
      <c r="I45"/>
      <c r="J45"/>
    </row>
    <row r="46" spans="1:10" x14ac:dyDescent="0.35">
      <c r="A46"/>
      <c r="G46"/>
      <c r="H46"/>
      <c r="I46"/>
      <c r="J46"/>
    </row>
    <row r="47" spans="1:10" x14ac:dyDescent="0.35">
      <c r="A47"/>
      <c r="G47"/>
      <c r="H47"/>
      <c r="I47"/>
      <c r="J47"/>
    </row>
    <row r="48" spans="1:10" x14ac:dyDescent="0.35">
      <c r="A48"/>
      <c r="G48"/>
      <c r="H48"/>
      <c r="I48"/>
      <c r="J48"/>
    </row>
    <row r="49" spans="1:10" x14ac:dyDescent="0.35">
      <c r="A49"/>
      <c r="G49"/>
      <c r="H49"/>
      <c r="I49"/>
      <c r="J49"/>
    </row>
    <row r="50" spans="1:10" x14ac:dyDescent="0.35">
      <c r="A50"/>
      <c r="G50"/>
      <c r="H50"/>
      <c r="I50"/>
      <c r="J50"/>
    </row>
    <row r="51" spans="1:10" x14ac:dyDescent="0.35">
      <c r="A51"/>
      <c r="G51"/>
      <c r="H51"/>
      <c r="I51"/>
      <c r="J51"/>
    </row>
    <row r="52" spans="1:10" x14ac:dyDescent="0.35">
      <c r="A52"/>
      <c r="G52"/>
      <c r="H52"/>
      <c r="I52"/>
      <c r="J52"/>
    </row>
    <row r="53" spans="1:10" x14ac:dyDescent="0.35">
      <c r="A53"/>
      <c r="G53"/>
      <c r="H53"/>
      <c r="J53"/>
    </row>
    <row r="54" spans="1:10" x14ac:dyDescent="0.35">
      <c r="A54"/>
      <c r="G54"/>
      <c r="H54"/>
      <c r="J54"/>
    </row>
    <row r="55" spans="1:10" x14ac:dyDescent="0.35">
      <c r="A55"/>
      <c r="G55"/>
      <c r="H55"/>
      <c r="J55"/>
    </row>
    <row r="56" spans="1:10" x14ac:dyDescent="0.35">
      <c r="A56"/>
      <c r="G56"/>
      <c r="H56"/>
      <c r="J56"/>
    </row>
    <row r="57" spans="1:10" x14ac:dyDescent="0.35">
      <c r="A57"/>
      <c r="G57"/>
      <c r="H57"/>
      <c r="J57"/>
    </row>
    <row r="58" spans="1:10" x14ac:dyDescent="0.35">
      <c r="A58"/>
      <c r="G58"/>
      <c r="H58"/>
      <c r="J58"/>
    </row>
    <row r="59" spans="1:10" x14ac:dyDescent="0.35">
      <c r="A59"/>
      <c r="G59"/>
      <c r="H59"/>
      <c r="J59"/>
    </row>
    <row r="60" spans="1:10" x14ac:dyDescent="0.35">
      <c r="A60"/>
      <c r="G60"/>
      <c r="H60"/>
      <c r="J60"/>
    </row>
    <row r="61" spans="1:10" x14ac:dyDescent="0.35">
      <c r="A61"/>
      <c r="G61"/>
      <c r="H61"/>
      <c r="J61"/>
    </row>
    <row r="62" spans="1:10" x14ac:dyDescent="0.35">
      <c r="A62"/>
      <c r="G62"/>
      <c r="H62"/>
      <c r="J62"/>
    </row>
    <row r="63" spans="1:10" x14ac:dyDescent="0.35">
      <c r="A63"/>
      <c r="G63"/>
      <c r="H63"/>
      <c r="J63"/>
    </row>
    <row r="64" spans="1:10" x14ac:dyDescent="0.35">
      <c r="A64"/>
      <c r="G64"/>
      <c r="H64"/>
      <c r="J64"/>
    </row>
    <row r="65" spans="1:10" x14ac:dyDescent="0.35">
      <c r="A65"/>
      <c r="G65"/>
      <c r="H65"/>
      <c r="J65"/>
    </row>
    <row r="66" spans="1:10" x14ac:dyDescent="0.35">
      <c r="A66"/>
      <c r="G66"/>
      <c r="H66"/>
      <c r="J66"/>
    </row>
    <row r="67" spans="1:10" x14ac:dyDescent="0.35">
      <c r="A67"/>
      <c r="G67"/>
      <c r="H67"/>
      <c r="J67"/>
    </row>
    <row r="68" spans="1:10" x14ac:dyDescent="0.35">
      <c r="A68"/>
      <c r="G68"/>
      <c r="H68"/>
      <c r="J68"/>
    </row>
    <row r="69" spans="1:10" x14ac:dyDescent="0.35">
      <c r="A69"/>
      <c r="G69"/>
      <c r="H69"/>
      <c r="J69"/>
    </row>
    <row r="70" spans="1:10" x14ac:dyDescent="0.35">
      <c r="A70"/>
      <c r="G70"/>
      <c r="H70"/>
      <c r="J70"/>
    </row>
    <row r="71" spans="1:10" x14ac:dyDescent="0.35">
      <c r="A71"/>
      <c r="G71"/>
      <c r="H71"/>
      <c r="J71"/>
    </row>
    <row r="72" spans="1:10" x14ac:dyDescent="0.35">
      <c r="A72"/>
      <c r="G72"/>
      <c r="H72"/>
      <c r="J72"/>
    </row>
    <row r="73" spans="1:10" x14ac:dyDescent="0.35">
      <c r="A73"/>
      <c r="G73"/>
      <c r="H73"/>
      <c r="J73"/>
    </row>
    <row r="74" spans="1:10" x14ac:dyDescent="0.35">
      <c r="A74"/>
      <c r="G74"/>
      <c r="H74"/>
      <c r="J74"/>
    </row>
    <row r="75" spans="1:10" x14ac:dyDescent="0.35">
      <c r="A75"/>
      <c r="G75"/>
      <c r="H75"/>
      <c r="J75"/>
    </row>
    <row r="76" spans="1:10" x14ac:dyDescent="0.35">
      <c r="A76"/>
      <c r="G76"/>
      <c r="H76"/>
      <c r="J76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HorizontalPipeline</vt:lpstr>
      <vt:lpstr>OriginalData</vt:lpstr>
      <vt:lpstr>CleanedData</vt:lpstr>
      <vt:lpstr>PivotTableWithChart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Blandine Nirere</dc:creator>
  <cp:lastModifiedBy>Blandine Nirere</cp:lastModifiedBy>
  <dcterms:created xsi:type="dcterms:W3CDTF">2023-09-23T19:08:08Z</dcterms:created>
  <dcterms:modified xsi:type="dcterms:W3CDTF">2023-09-25T07:59:56Z</dcterms:modified>
</cp:coreProperties>
</file>